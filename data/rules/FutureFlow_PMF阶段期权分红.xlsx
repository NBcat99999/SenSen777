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40" activeTab="3"/>
  </bookViews>
  <sheets>
    <sheet name="总览" sheetId="1" r:id="rId1"/>
    <sheet name="股权池规则" sheetId="2" r:id="rId2"/>
    <sheet name="融资补偿" sheetId="3" r:id="rId3"/>
    <sheet name="分红计算" sheetId="4" r:id="rId4"/>
    <sheet name="公式检查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<sst xmlns="http://schemas.openxmlformats.org/spreadsheetml/2006/main" count="482" uniqueCount="161">
  <si>
    <t>Future flow，PMF 阶段期权分红</t>
  </si>
  <si>
    <t>本版只先确定整体比例，不锁定 Founder（创始人）和 Co-founder（联合创始人）人数。PMF（Product-Market Fit，产品市场匹配）阶段以验证客户、收入、交付和回款为核心，联合创始人通过更高期权池 + 基本工资获得激励，创始人暂不拿工资。</t>
  </si>
  <si>
    <t>整体池子比例｜先定池子，不定人数</t>
  </si>
  <si>
    <t>池子</t>
  </si>
  <si>
    <t>比例</t>
  </si>
  <si>
    <t>人数</t>
  </si>
  <si>
    <t>薪资待遇</t>
  </si>
  <si>
    <t>用途</t>
  </si>
  <si>
    <t>核心规则</t>
  </si>
  <si>
    <t>比例百分点</t>
  </si>
  <si>
    <t>Founder Pool（创始人池）</t>
  </si>
  <si>
    <t>待定</t>
  </si>
  <si>
    <t>No salary（无基本工资）</t>
  </si>
  <si>
    <t>控制权、融资、方向和核心责任</t>
  </si>
  <si>
    <t>4-5 年 Vesting（归属），12 个月 Cliff（悬崖期）</t>
  </si>
  <si>
    <t>Founder</t>
  </si>
  <si>
    <t>Co-founder Option Pool（联合创始人期权池）</t>
  </si>
  <si>
    <t>Base salary（有基本工资）</t>
  </si>
  <si>
    <t>PMF 验证、客户签约、交付和回款</t>
  </si>
  <si>
    <t>Co-founder</t>
  </si>
  <si>
    <t>Employee ESOP（员工期权池）</t>
  </si>
  <si>
    <t>未来员工</t>
  </si>
  <si>
    <t>按岗位薪资</t>
  </si>
  <si>
    <t>未来核心员工和关键岗位</t>
  </si>
  <si>
    <t>10% 即可，后续融资前再评估是否补池</t>
  </si>
  <si>
    <t>Employee ESOP</t>
  </si>
  <si>
    <t>合计</t>
  </si>
  <si>
    <t/>
  </si>
  <si>
    <t>一句话规则</t>
  </si>
  <si>
    <t>1. 人数待定，先锁定三大池子：Founder Pool（创始人池）60%、Co-founder Option Pool（联合创始人期权池）30%、Employee ESOP（员工期权池）10%。</t>
  </si>
  <si>
    <t>2. Founder（创始人）无基本工资，主要通过 Founder Pool（创始人池）和融资补偿机制体现前期投入。</t>
  </si>
  <si>
    <t>3. Co-founder（联合创始人）有基本工资，同时从 Co-founder Option Pool（联合创始人期权池）中按贡献分配。</t>
  </si>
  <si>
    <t>4. Vesting（归属）建议 4-5 年，Cliff（悬崖期）12 个月；未到归属条件，不应一次性拿完。</t>
  </si>
  <si>
    <t>5. No Leaver Repurchase（无离职回购）：不设置公司花钱回购安排；已归属部分保留，未归属部分停止继续归属或按协议失效。</t>
  </si>
  <si>
    <t>6. PMF 阶段默认不分红，现金优先用于增长；确需分红时，按已归属且有分红权的实股/期权行权后权益比例分配。</t>
  </si>
  <si>
    <t>三大池子｜黄色比例可调整</t>
  </si>
  <si>
    <t>分配对象</t>
  </si>
  <si>
    <t>归属期</t>
  </si>
  <si>
    <t>悬崖期</t>
  </si>
  <si>
    <t>备注</t>
  </si>
  <si>
    <t>六哥+技术合伙人+资方</t>
  </si>
  <si>
    <t>48-60 months（4-5年）</t>
  </si>
  <si>
    <t>12 months（12个月）</t>
  </si>
  <si>
    <t>承担方向、融资、控制权和最终责任</t>
  </si>
  <si>
    <t>小燕，杰哥，雨潼，宁可，阿金</t>
  </si>
  <si>
    <t>按 PMF 贡献、签约、交付、回款分配</t>
  </si>
  <si>
    <t>未来核心员工</t>
  </si>
  <si>
    <t>48 months（4年）</t>
  </si>
  <si>
    <t>10% 先够用，融资前再评估</t>
  </si>
  <si>
    <t>未来分配口径｜现在不填人名也能用</t>
  </si>
  <si>
    <t>维度</t>
  </si>
  <si>
    <t>解释</t>
  </si>
  <si>
    <t>全职投入</t>
  </si>
  <si>
    <t>必须</t>
  </si>
  <si>
    <t>原则上必须</t>
  </si>
  <si>
    <t>按岗位</t>
  </si>
  <si>
    <t>兼职人员不应按全职比例获得核心池份额</t>
  </si>
  <si>
    <t>客户/收入结果</t>
  </si>
  <si>
    <t>强相关</t>
  </si>
  <si>
    <t>岗位相关</t>
  </si>
  <si>
    <t>PMF 阶段最重要的是签约、回款、留存和交付</t>
  </si>
  <si>
    <t>不可替代性</t>
  </si>
  <si>
    <t>极高</t>
  </si>
  <si>
    <t>较高</t>
  </si>
  <si>
    <t>一般到较高</t>
  </si>
  <si>
    <t>越不可替代，越应从对应池子中获得更高份额</t>
  </si>
  <si>
    <t>薪资补偿</t>
  </si>
  <si>
    <t>无工资，靠融资补偿</t>
  </si>
  <si>
    <t>有基本工资</t>
  </si>
  <si>
    <t>正常工资</t>
  </si>
  <si>
    <t>薪资和期权需要合并看总激励</t>
  </si>
  <si>
    <t>分红资格</t>
  </si>
  <si>
    <t>已归属/有实股权后</t>
  </si>
  <si>
    <t>已归属/行权后</t>
  </si>
  <si>
    <t>已授予/归属/行权后</t>
  </si>
  <si>
    <t>未行权或未归属部分不参与现金分红</t>
  </si>
  <si>
    <t>离职安排</t>
  </si>
  <si>
    <t>无离职回购</t>
  </si>
  <si>
    <t>已归属保留，未归属停止继续归属或按协议失效</t>
  </si>
  <si>
    <t>融资补偿建议单独处理，不要偷偷塞进股权比例里。Founder（创始人）前期无工资，可设置 Deferred Compensation（递延补偿）或 Qualified Financing Bonus（合格融资奖金），但必须有上限、审批和现金安全条件。</t>
  </si>
  <si>
    <t>融资补偿机制｜黄色数字可改</t>
  </si>
  <si>
    <t>项目</t>
  </si>
  <si>
    <t>输入 / 计算</t>
  </si>
  <si>
    <t>说明</t>
  </si>
  <si>
    <t>投资人视角</t>
  </si>
  <si>
    <t>Qualified Financing（合格融资金额）</t>
  </si>
  <si>
    <t>¥10,000,000基准单位</t>
  </si>
  <si>
    <t>例如完成外部机构融资</t>
  </si>
  <si>
    <t>融资后才触发，不提前形成现金压力</t>
  </si>
  <si>
    <t>Founder Deferred Compensation Cap（创始人递延补偿上限）</t>
  </si>
  <si>
    <t>创始人无工资期间的补偿上限</t>
  </si>
  <si>
    <t>建议有上限，避免变成隐性债务</t>
  </si>
  <si>
    <t>Compensation Trigger（触发条件）</t>
  </si>
  <si>
    <t>融资到账</t>
  </si>
  <si>
    <t>不是口头承诺</t>
  </si>
  <si>
    <t>治理清楚</t>
  </si>
  <si>
    <t>Suggested Founder Compensation Pool（建议创始人补偿池）</t>
  </si>
  <si>
    <t>MIN（融资额5%，补偿上限只限首轮）</t>
  </si>
  <si>
    <t>合理但克制</t>
  </si>
  <si>
    <t>Co-founder Salary（联合创始人工资）</t>
  </si>
  <si>
    <t>按月发放</t>
  </si>
  <si>
    <t>联合创始人已有基本工资</t>
  </si>
  <si>
    <t>不再重复计入融资补偿</t>
  </si>
  <si>
    <t>Equity Compensation（股权补偿）</t>
  </si>
  <si>
    <t>不额外增加</t>
  </si>
  <si>
    <t>股权已体现在 30% 联合创始人期权池</t>
  </si>
  <si>
    <t>避免融资前 cap table（股权表）混乱</t>
  </si>
  <si>
    <t>补偿分配规则</t>
  </si>
  <si>
    <t>对象</t>
  </si>
  <si>
    <t>是否参与融资补偿</t>
  </si>
  <si>
    <t>理由</t>
  </si>
  <si>
    <t>建议</t>
  </si>
  <si>
    <t>Founder（创始人）</t>
  </si>
  <si>
    <t>Yes / 是</t>
  </si>
  <si>
    <t>前期无工资，承担融资和公司方向责任</t>
  </si>
  <si>
    <t>从补偿池中按实际未发薪、投入和董事会批准分配</t>
  </si>
  <si>
    <t>Co-founder（联合创始人）</t>
  </si>
  <si>
    <t>Usually No / 通常否</t>
  </si>
  <si>
    <t>已有基本工资，另有 30% 期权池</t>
  </si>
  <si>
    <t>除非有明确未支付工资或特别贡献，否则不重复补偿</t>
  </si>
  <si>
    <t>Employee（员工）</t>
  </si>
  <si>
    <t>No / 否</t>
  </si>
  <si>
    <t>员工走工资和 ESOP（员工期权池）</t>
  </si>
  <si>
    <t>不参与创始人融资补偿池</t>
  </si>
  <si>
    <t>Company（公司）</t>
  </si>
  <si>
    <t>Priority / 优先</t>
  </si>
  <si>
    <t>现金优先用于增长和交付</t>
  </si>
  <si>
    <t>补偿不得损害现金安全</t>
  </si>
  <si>
    <t>分红池｜PMF 阶段默认 0%</t>
  </si>
  <si>
    <t>税后利润</t>
  </si>
  <si>
    <t>示例值，可修改</t>
  </si>
  <si>
    <t>留存及公积金比例</t>
  </si>
  <si>
    <t>先留存现金，正式执行以法律和财务意见为准</t>
  </si>
  <si>
    <t>可分配利润</t>
  </si>
  <si>
    <t>税后利润 ×（1－留存比例）</t>
  </si>
  <si>
    <t>现金分红比例</t>
  </si>
  <si>
    <t>PMF 阶段默认 0%；成熟后可调整</t>
  </si>
  <si>
    <t>实际现金分红池</t>
  </si>
  <si>
    <t>可分配利润 × 分红比例</t>
  </si>
  <si>
    <t>公司留存利润</t>
  </si>
  <si>
    <t>税后利润－实际现金分红</t>
  </si>
  <si>
    <t>按三大池子分红｜未归属/未行权部分不参与</t>
  </si>
  <si>
    <t>池子比例</t>
  </si>
  <si>
    <t>当前可分红权重</t>
  </si>
  <si>
    <t>现金分红</t>
  </si>
  <si>
    <t>PMF 默认结果</t>
  </si>
  <si>
    <t>规则</t>
  </si>
  <si>
    <t>已归属/有实股权后参与</t>
  </si>
  <si>
    <t>创始人暂无工资，可另看融资补偿</t>
  </si>
  <si>
    <t>已归属/行权后参与</t>
  </si>
  <si>
    <t>联合创始人有基本工资</t>
  </si>
  <si>
    <t>未授予/未行权不分红</t>
  </si>
  <si>
    <t>员工期权池先保留 10%</t>
  </si>
  <si>
    <t>检查项</t>
  </si>
  <si>
    <t>实际</t>
  </si>
  <si>
    <t>目标</t>
  </si>
  <si>
    <t>差异</t>
  </si>
  <si>
    <t>容忍度</t>
  </si>
  <si>
    <t>状态</t>
  </si>
  <si>
    <t>总池子比例</t>
  </si>
  <si>
    <t>分红分配合计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</si>
</sst>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\¥#,##0;[Red]\(\¥#,##0\);\-"/>
  </numFmts>
  <fonts count="27">
    <font>
      <sz val="11"/>
      <name val="Carlito"/>
      <charset val="134"/>
    </font>
    <font>
      <sz val="11"/>
      <color theme="0"/>
      <name val="Carlito"/>
      <charset val="134"/>
    </font>
    <font>
      <b/>
      <sz val="18"/>
      <color rgb="FFFFFFFF"/>
      <name val="Aptos Display"/>
      <charset val="134"/>
    </font>
    <font>
      <sz val="10"/>
      <color rgb="FF111827"/>
      <name val="Aptos"/>
      <charset val="134"/>
    </font>
    <font>
      <b/>
      <sz val="10"/>
      <color theme="0"/>
      <name val="Aptos"/>
      <charset val="134"/>
    </font>
    <font>
      <b/>
      <sz val="10"/>
      <color rgb="FF111827"/>
      <name val="Aptos"/>
      <charset val="134"/>
    </font>
    <font>
      <sz val="10"/>
      <color theme="0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2468B4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0" borderId="0" xfId="49" applyFont="1"/>
    <xf numFmtId="0" fontId="2" fillId="2" borderId="0" xfId="49" applyNumberFormat="1" applyFont="1" applyFill="1" applyBorder="1" applyAlignment="1">
      <alignment vertical="center"/>
    </xf>
    <xf numFmtId="0" fontId="3" fillId="0" borderId="0" xfId="49" applyNumberFormat="1" applyFont="1" applyFill="1" applyBorder="1"/>
    <xf numFmtId="0" fontId="4" fillId="2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vertical="center"/>
    </xf>
    <xf numFmtId="176" fontId="3" fillId="0" borderId="1" xfId="49" applyNumberFormat="1" applyFont="1" applyFill="1" applyBorder="1" applyAlignment="1">
      <alignment vertical="center"/>
    </xf>
    <xf numFmtId="177" fontId="3" fillId="0" borderId="1" xfId="49" applyNumberFormat="1" applyFont="1" applyFill="1" applyBorder="1" applyAlignment="1">
      <alignment vertical="center"/>
    </xf>
    <xf numFmtId="0" fontId="5" fillId="3" borderId="0" xfId="49" applyNumberFormat="1" applyFont="1" applyFill="1" applyBorder="1" applyAlignment="1">
      <alignment vertical="center"/>
    </xf>
    <xf numFmtId="0" fontId="5" fillId="2" borderId="1" xfId="49" applyNumberFormat="1" applyFont="1" applyFill="1" applyBorder="1" applyAlignment="1">
      <alignment horizontal="center" vertical="center" wrapText="1"/>
    </xf>
    <xf numFmtId="177" fontId="3" fillId="4" borderId="1" xfId="49" applyNumberFormat="1" applyFont="1" applyFill="1" applyBorder="1" applyAlignment="1">
      <alignment vertical="center"/>
    </xf>
    <xf numFmtId="176" fontId="3" fillId="4" borderId="1" xfId="49" applyNumberFormat="1" applyFont="1" applyFill="1" applyBorder="1" applyAlignment="1">
      <alignment vertical="center"/>
    </xf>
    <xf numFmtId="0" fontId="5" fillId="5" borderId="1" xfId="49" applyNumberFormat="1" applyFont="1" applyFill="1" applyBorder="1" applyAlignment="1">
      <alignment vertical="center"/>
    </xf>
    <xf numFmtId="176" fontId="5" fillId="5" borderId="1" xfId="49" applyNumberFormat="1" applyFont="1" applyFill="1" applyBorder="1" applyAlignment="1">
      <alignment vertical="center"/>
    </xf>
    <xf numFmtId="177" fontId="5" fillId="5" borderId="1" xfId="49" applyNumberFormat="1" applyFont="1" applyFill="1" applyBorder="1" applyAlignment="1">
      <alignment vertical="center"/>
    </xf>
    <xf numFmtId="0" fontId="5" fillId="6" borderId="0" xfId="49" applyNumberFormat="1" applyFont="1" applyFill="1" applyBorder="1" applyAlignment="1">
      <alignment vertical="center" wrapText="1"/>
    </xf>
    <xf numFmtId="0" fontId="6" fillId="0" borderId="0" xfId="49" applyNumberFormat="1" applyFont="1" applyFill="1" applyBorder="1"/>
    <xf numFmtId="177" fontId="3" fillId="4" borderId="1" xfId="49" applyNumberFormat="1" applyFont="1" applyFill="1" applyBorder="1" applyAlignment="1">
      <alignment horizontal="right" vertical="center"/>
    </xf>
    <xf numFmtId="0" fontId="3" fillId="5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17643A"/>
      </font>
      <fill>
        <patternFill patternType="solid">
          <bgColor rgb="FFE6F4EA"/>
        </patternFill>
      </fill>
    </dxf>
    <dxf>
      <font>
        <b val="1"/>
        <color rgb="FFA23A3A"/>
      </font>
      <fill>
        <patternFill patternType="solid">
          <bgColor rgb="FFFCE8E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PMF 阶段建议池子比例（%）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"比例百分点"</c:f>
              <c:strCache>
                <c:ptCount val="1"/>
                <c:pt idx="0">
                  <c:v>比例百分点</c:v>
                </c:pt>
              </c:strCache>
            </c:strRef>
          </c:tx>
          <c:invertIfNegative val="0"/>
          <c:dLbls>
            <c:delete val="1"/>
          </c:dLbls>
          <c:cat>
            <c:strRef>
              <c:f>总览!$H$10:$H$12</c:f>
              <c:strCache>
                <c:ptCount val="3"/>
                <c:pt idx="0">
                  <c:v>Founder</c:v>
                </c:pt>
                <c:pt idx="1">
                  <c:v>Co-founder</c:v>
                </c:pt>
                <c:pt idx="2">
                  <c:v>Employee ESOP</c:v>
                </c:pt>
              </c:strCache>
            </c:strRef>
          </c:cat>
          <c:val>
            <c:numRef>
              <c:f>总览!$I$10:$I$12</c:f>
              <c:numCache>
                <c:formatCode>General</c:formatCode>
                <c:ptCount val="3"/>
                <c:pt idx="0">
                  <c:v>60</c:v>
                </c:pt>
                <c:pt idx="1">
                  <c:v>30</c:v>
                </c:pt>
                <c:pt idx="2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a56d006-5b28-4031-a858-be4e67d52fba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15</xdr:row>
      <xdr:rowOff>0</xdr:rowOff>
    </xdr:from>
    <xdr:to>
      <xdr:col>6</xdr:col>
      <xdr:colOff>0</xdr:colOff>
      <xdr:row>31</xdr:row>
      <xdr:rowOff>0</xdr:rowOff>
    </xdr:to>
    <xdr:graphicFrame>
      <xdr:nvGraphicFramePr>
        <xdr:cNvPr id="2" name="Chart"/>
        <xdr:cNvGraphicFramePr/>
      </xdr:nvGraphicFramePr>
      <xdr:xfrm>
        <a:off x="0" y="3637280"/>
        <a:ext cx="14190345" cy="341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showGridLines="0" workbookViewId="0">
      <selection activeCell="B15" sqref="B15"/>
    </sheetView>
  </sheetViews>
  <sheetFormatPr defaultColWidth="9" defaultRowHeight="16.8"/>
  <cols>
    <col min="1" max="1" width="34.3161764705882" customWidth="1"/>
    <col min="2" max="3" width="14" customWidth="1"/>
    <col min="4" max="4" width="26" customWidth="1"/>
    <col min="5" max="5" width="34" customWidth="1"/>
    <col min="6" max="6" width="42" customWidth="1"/>
    <col min="7" max="7" width="4" customWidth="1"/>
    <col min="8" max="8" width="20" customWidth="1"/>
    <col min="9" max="9" width="16" customWidth="1"/>
    <col min="10" max="10" width="10" customWidth="1"/>
  </cols>
  <sheetData>
    <row r="1" ht="34" customHeight="1" spans="1:10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</row>
    <row r="2" ht="34" customHeight="1" spans="1:10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>
      <c r="A4" s="15" t="s">
        <v>1</v>
      </c>
      <c r="B4" s="15"/>
      <c r="C4" s="15"/>
      <c r="D4" s="15"/>
      <c r="E4" s="15"/>
      <c r="F4" s="15"/>
      <c r="G4" s="15"/>
      <c r="H4" s="15"/>
      <c r="I4" s="15"/>
      <c r="J4" s="15"/>
    </row>
    <row r="5" spans="1:10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8" t="s">
        <v>2</v>
      </c>
      <c r="B8" s="8" t="s">
        <v>2</v>
      </c>
      <c r="C8" s="8" t="s">
        <v>2</v>
      </c>
      <c r="D8" s="8" t="s">
        <v>2</v>
      </c>
      <c r="E8" s="8" t="s">
        <v>2</v>
      </c>
      <c r="F8" s="8" t="s">
        <v>2</v>
      </c>
      <c r="G8" s="8" t="s">
        <v>2</v>
      </c>
      <c r="H8" s="8" t="s">
        <v>2</v>
      </c>
      <c r="I8" s="8" t="s">
        <v>2</v>
      </c>
      <c r="J8" s="8" t="s">
        <v>2</v>
      </c>
    </row>
    <row r="9" s="1" customFormat="1" spans="1:10">
      <c r="A9" s="4" t="s">
        <v>3</v>
      </c>
      <c r="B9" s="4" t="s">
        <v>4</v>
      </c>
      <c r="C9" s="4" t="s">
        <v>5</v>
      </c>
      <c r="D9" s="4" t="s">
        <v>6</v>
      </c>
      <c r="E9" s="4" t="s">
        <v>7</v>
      </c>
      <c r="F9" s="4" t="s">
        <v>8</v>
      </c>
      <c r="G9" s="16"/>
      <c r="H9" s="4" t="s">
        <v>3</v>
      </c>
      <c r="I9" s="4" t="s">
        <v>9</v>
      </c>
      <c r="J9" s="16"/>
    </row>
    <row r="10" spans="1:10">
      <c r="A10" s="5" t="s">
        <v>10</v>
      </c>
      <c r="B10" s="6">
        <f>股权池规则!B6</f>
        <v>0.6</v>
      </c>
      <c r="C10" s="5" t="s">
        <v>11</v>
      </c>
      <c r="D10" s="5" t="s">
        <v>12</v>
      </c>
      <c r="E10" s="5" t="s">
        <v>13</v>
      </c>
      <c r="F10" s="5" t="s">
        <v>14</v>
      </c>
      <c r="G10" s="3"/>
      <c r="H10" s="5" t="s">
        <v>15</v>
      </c>
      <c r="I10" s="5">
        <v>60</v>
      </c>
      <c r="J10" s="3"/>
    </row>
    <row r="11" spans="1:10">
      <c r="A11" s="5" t="s">
        <v>16</v>
      </c>
      <c r="B11" s="6">
        <f>股权池规则!B7</f>
        <v>0.3</v>
      </c>
      <c r="C11" s="5" t="s">
        <v>11</v>
      </c>
      <c r="D11" s="5" t="s">
        <v>17</v>
      </c>
      <c r="E11" s="5" t="s">
        <v>18</v>
      </c>
      <c r="F11" s="5" t="s">
        <v>14</v>
      </c>
      <c r="G11" s="3"/>
      <c r="H11" s="5" t="s">
        <v>19</v>
      </c>
      <c r="I11" s="5">
        <v>30</v>
      </c>
      <c r="J11" s="3"/>
    </row>
    <row r="12" spans="1:10">
      <c r="A12" s="5" t="s">
        <v>20</v>
      </c>
      <c r="B12" s="6">
        <f>股权池规则!B8</f>
        <v>0.1</v>
      </c>
      <c r="C12" s="5" t="s">
        <v>21</v>
      </c>
      <c r="D12" s="5" t="s">
        <v>22</v>
      </c>
      <c r="E12" s="5" t="s">
        <v>23</v>
      </c>
      <c r="F12" s="5" t="s">
        <v>24</v>
      </c>
      <c r="G12" s="3"/>
      <c r="H12" s="5" t="s">
        <v>25</v>
      </c>
      <c r="I12" s="5">
        <v>10</v>
      </c>
      <c r="J12" s="3"/>
    </row>
    <row r="13" spans="1:10">
      <c r="A13" s="12" t="s">
        <v>26</v>
      </c>
      <c r="B13" s="13">
        <f>SUM(B10:B12)</f>
        <v>1</v>
      </c>
      <c r="C13" s="12" t="s">
        <v>27</v>
      </c>
      <c r="D13" s="12" t="s">
        <v>27</v>
      </c>
      <c r="E13" s="12" t="s">
        <v>27</v>
      </c>
      <c r="F13" s="12" t="s">
        <v>27</v>
      </c>
      <c r="G13" s="3"/>
      <c r="H13" s="5" t="s">
        <v>26</v>
      </c>
      <c r="I13" s="5">
        <v>100</v>
      </c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8" t="s">
        <v>28</v>
      </c>
      <c r="B33" s="8" t="s">
        <v>28</v>
      </c>
      <c r="C33" s="8" t="s">
        <v>28</v>
      </c>
      <c r="D33" s="8" t="s">
        <v>28</v>
      </c>
      <c r="E33" s="8" t="s">
        <v>28</v>
      </c>
      <c r="F33" s="8" t="s">
        <v>28</v>
      </c>
      <c r="G33" s="8" t="s">
        <v>28</v>
      </c>
      <c r="H33" s="8" t="s">
        <v>28</v>
      </c>
      <c r="I33" s="8" t="s">
        <v>28</v>
      </c>
      <c r="J33" s="8" t="s">
        <v>28</v>
      </c>
    </row>
    <row r="34" spans="1:10">
      <c r="A34" s="18" t="s">
        <v>29</v>
      </c>
      <c r="B34" s="18" t="s">
        <v>27</v>
      </c>
      <c r="C34" s="18" t="s">
        <v>27</v>
      </c>
      <c r="D34" s="18" t="s">
        <v>27</v>
      </c>
      <c r="E34" s="18" t="s">
        <v>27</v>
      </c>
      <c r="F34" s="18" t="s">
        <v>27</v>
      </c>
      <c r="G34" s="18" t="s">
        <v>27</v>
      </c>
      <c r="H34" s="18" t="s">
        <v>27</v>
      </c>
      <c r="I34" s="18" t="s">
        <v>27</v>
      </c>
      <c r="J34" s="18" t="s">
        <v>27</v>
      </c>
    </row>
    <row r="35" spans="1:10">
      <c r="A35" s="18" t="s">
        <v>30</v>
      </c>
      <c r="B35" s="18" t="s">
        <v>27</v>
      </c>
      <c r="C35" s="18" t="s">
        <v>27</v>
      </c>
      <c r="D35" s="18" t="s">
        <v>27</v>
      </c>
      <c r="E35" s="18" t="s">
        <v>27</v>
      </c>
      <c r="F35" s="18" t="s">
        <v>27</v>
      </c>
      <c r="G35" s="18" t="s">
        <v>27</v>
      </c>
      <c r="H35" s="18" t="s">
        <v>27</v>
      </c>
      <c r="I35" s="18" t="s">
        <v>27</v>
      </c>
      <c r="J35" s="18" t="s">
        <v>27</v>
      </c>
    </row>
    <row r="36" spans="1:10">
      <c r="A36" s="18" t="s">
        <v>31</v>
      </c>
      <c r="B36" s="18" t="s">
        <v>27</v>
      </c>
      <c r="C36" s="18" t="s">
        <v>27</v>
      </c>
      <c r="D36" s="18" t="s">
        <v>27</v>
      </c>
      <c r="E36" s="18" t="s">
        <v>27</v>
      </c>
      <c r="F36" s="18" t="s">
        <v>27</v>
      </c>
      <c r="G36" s="18" t="s">
        <v>27</v>
      </c>
      <c r="H36" s="18" t="s">
        <v>27</v>
      </c>
      <c r="I36" s="18" t="s">
        <v>27</v>
      </c>
      <c r="J36" s="18" t="s">
        <v>27</v>
      </c>
    </row>
    <row r="37" spans="1:10">
      <c r="A37" s="18" t="s">
        <v>32</v>
      </c>
      <c r="B37" s="18" t="s">
        <v>27</v>
      </c>
      <c r="C37" s="18" t="s">
        <v>27</v>
      </c>
      <c r="D37" s="18" t="s">
        <v>27</v>
      </c>
      <c r="E37" s="18" t="s">
        <v>27</v>
      </c>
      <c r="F37" s="18" t="s">
        <v>27</v>
      </c>
      <c r="G37" s="18" t="s">
        <v>27</v>
      </c>
      <c r="H37" s="18" t="s">
        <v>27</v>
      </c>
      <c r="I37" s="18" t="s">
        <v>27</v>
      </c>
      <c r="J37" s="18" t="s">
        <v>27</v>
      </c>
    </row>
    <row r="38" spans="1:10">
      <c r="A38" s="18" t="s">
        <v>33</v>
      </c>
      <c r="B38" s="18" t="s">
        <v>27</v>
      </c>
      <c r="C38" s="18" t="s">
        <v>27</v>
      </c>
      <c r="D38" s="18" t="s">
        <v>27</v>
      </c>
      <c r="E38" s="18" t="s">
        <v>27</v>
      </c>
      <c r="F38" s="18" t="s">
        <v>27</v>
      </c>
      <c r="G38" s="18" t="s">
        <v>27</v>
      </c>
      <c r="H38" s="18" t="s">
        <v>27</v>
      </c>
      <c r="I38" s="18" t="s">
        <v>27</v>
      </c>
      <c r="J38" s="18" t="s">
        <v>27</v>
      </c>
    </row>
    <row r="39" spans="1:10">
      <c r="A39" s="18" t="s">
        <v>34</v>
      </c>
      <c r="B39" s="18" t="s">
        <v>27</v>
      </c>
      <c r="C39" s="18" t="s">
        <v>27</v>
      </c>
      <c r="D39" s="18" t="s">
        <v>27</v>
      </c>
      <c r="E39" s="18" t="s">
        <v>27</v>
      </c>
      <c r="F39" s="18" t="s">
        <v>27</v>
      </c>
      <c r="G39" s="18" t="s">
        <v>27</v>
      </c>
      <c r="H39" s="18" t="s">
        <v>27</v>
      </c>
      <c r="I39" s="18" t="s">
        <v>27</v>
      </c>
      <c r="J39" s="18" t="s">
        <v>27</v>
      </c>
    </row>
  </sheetData>
  <mergeCells count="10">
    <mergeCell ref="A8:J8"/>
    <mergeCell ref="A33:J33"/>
    <mergeCell ref="A34:J34"/>
    <mergeCell ref="A35:J35"/>
    <mergeCell ref="A36:J36"/>
    <mergeCell ref="A37:J37"/>
    <mergeCell ref="A38:J38"/>
    <mergeCell ref="A39:J39"/>
    <mergeCell ref="A1:J2"/>
    <mergeCell ref="A4:J6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showGridLines="0" workbookViewId="0">
      <selection activeCell="C28" sqref="C28"/>
    </sheetView>
  </sheetViews>
  <sheetFormatPr defaultColWidth="9" defaultRowHeight="16.8" outlineLevelCol="7"/>
  <cols>
    <col min="1" max="1" width="24" customWidth="1"/>
    <col min="2" max="2" width="26" customWidth="1"/>
    <col min="3" max="3" width="34" customWidth="1"/>
    <col min="4" max="4" width="28" customWidth="1"/>
    <col min="5" max="5" width="56" customWidth="1"/>
    <col min="6" max="8" width="8" customWidth="1"/>
  </cols>
  <sheetData>
    <row r="1" ht="34" customHeight="1" spans="1:8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</row>
    <row r="2" ht="34" customHeight="1" spans="1:8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8" t="s">
        <v>35</v>
      </c>
      <c r="B4" s="8" t="s">
        <v>35</v>
      </c>
      <c r="C4" s="8" t="s">
        <v>35</v>
      </c>
      <c r="D4" s="8" t="s">
        <v>35</v>
      </c>
      <c r="E4" s="8" t="s">
        <v>35</v>
      </c>
      <c r="F4" s="8" t="s">
        <v>35</v>
      </c>
      <c r="G4" s="8" t="s">
        <v>35</v>
      </c>
      <c r="H4" s="8" t="s">
        <v>35</v>
      </c>
    </row>
    <row r="5" s="1" customFormat="1" spans="1:8">
      <c r="A5" s="4" t="s">
        <v>3</v>
      </c>
      <c r="B5" s="4" t="s">
        <v>4</v>
      </c>
      <c r="C5" s="4" t="s">
        <v>5</v>
      </c>
      <c r="D5" s="4" t="s">
        <v>6</v>
      </c>
      <c r="E5" s="4" t="s">
        <v>36</v>
      </c>
      <c r="F5" s="4" t="s">
        <v>37</v>
      </c>
      <c r="G5" s="4" t="s">
        <v>38</v>
      </c>
      <c r="H5" s="4" t="s">
        <v>39</v>
      </c>
    </row>
    <row r="6" spans="1:8">
      <c r="A6" s="5" t="s">
        <v>10</v>
      </c>
      <c r="B6" s="11">
        <v>0.6</v>
      </c>
      <c r="C6" s="5" t="s">
        <v>11</v>
      </c>
      <c r="D6" s="5" t="s">
        <v>12</v>
      </c>
      <c r="E6" s="5" t="s">
        <v>40</v>
      </c>
      <c r="F6" s="5" t="s">
        <v>41</v>
      </c>
      <c r="G6" s="5" t="s">
        <v>42</v>
      </c>
      <c r="H6" s="5" t="s">
        <v>43</v>
      </c>
    </row>
    <row r="7" spans="1:8">
      <c r="A7" s="5" t="s">
        <v>16</v>
      </c>
      <c r="B7" s="11">
        <v>0.3</v>
      </c>
      <c r="C7" s="5" t="s">
        <v>11</v>
      </c>
      <c r="D7" s="5" t="s">
        <v>17</v>
      </c>
      <c r="E7" s="5" t="s">
        <v>44</v>
      </c>
      <c r="F7" s="5" t="s">
        <v>41</v>
      </c>
      <c r="G7" s="5" t="s">
        <v>42</v>
      </c>
      <c r="H7" s="5" t="s">
        <v>45</v>
      </c>
    </row>
    <row r="8" spans="1:8">
      <c r="A8" s="5" t="s">
        <v>20</v>
      </c>
      <c r="B8" s="11">
        <v>0.1</v>
      </c>
      <c r="C8" s="5" t="s">
        <v>21</v>
      </c>
      <c r="D8" s="5" t="s">
        <v>22</v>
      </c>
      <c r="E8" s="5" t="s">
        <v>46</v>
      </c>
      <c r="F8" s="5" t="s">
        <v>47</v>
      </c>
      <c r="G8" s="5" t="s">
        <v>42</v>
      </c>
      <c r="H8" s="5" t="s">
        <v>48</v>
      </c>
    </row>
    <row r="9" spans="1:8">
      <c r="A9" s="12" t="s">
        <v>26</v>
      </c>
      <c r="B9" s="13">
        <f>SUM(B6:B8)</f>
        <v>1</v>
      </c>
      <c r="C9" s="12" t="s">
        <v>27</v>
      </c>
      <c r="D9" s="12" t="s">
        <v>27</v>
      </c>
      <c r="E9" s="12" t="s">
        <v>27</v>
      </c>
      <c r="F9" s="12" t="s">
        <v>27</v>
      </c>
      <c r="G9" s="12" t="s">
        <v>27</v>
      </c>
      <c r="H9" s="12" t="s">
        <v>27</v>
      </c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8" t="s">
        <v>49</v>
      </c>
      <c r="B12" s="8" t="s">
        <v>49</v>
      </c>
      <c r="C12" s="8" t="s">
        <v>49</v>
      </c>
      <c r="D12" s="8" t="s">
        <v>49</v>
      </c>
      <c r="E12" s="8" t="s">
        <v>49</v>
      </c>
      <c r="F12" s="8" t="s">
        <v>49</v>
      </c>
      <c r="G12" s="8" t="s">
        <v>49</v>
      </c>
      <c r="H12" s="8" t="s">
        <v>49</v>
      </c>
    </row>
    <row r="13" s="1" customFormat="1" spans="1:8">
      <c r="A13" s="4" t="s">
        <v>50</v>
      </c>
      <c r="B13" s="4" t="s">
        <v>10</v>
      </c>
      <c r="C13" s="4" t="s">
        <v>16</v>
      </c>
      <c r="D13" s="4" t="s">
        <v>20</v>
      </c>
      <c r="E13" s="4" t="s">
        <v>51</v>
      </c>
      <c r="F13" s="16" t="s">
        <v>27</v>
      </c>
      <c r="G13" s="16" t="s">
        <v>27</v>
      </c>
      <c r="H13" s="16" t="s">
        <v>27</v>
      </c>
    </row>
    <row r="14" spans="1:8">
      <c r="A14" s="5" t="s">
        <v>52</v>
      </c>
      <c r="B14" s="5" t="s">
        <v>53</v>
      </c>
      <c r="C14" s="5" t="s">
        <v>54</v>
      </c>
      <c r="D14" s="5" t="s">
        <v>55</v>
      </c>
      <c r="E14" s="5" t="s">
        <v>56</v>
      </c>
      <c r="F14" s="3" t="s">
        <v>27</v>
      </c>
      <c r="G14" s="3" t="s">
        <v>27</v>
      </c>
      <c r="H14" s="3" t="s">
        <v>27</v>
      </c>
    </row>
    <row r="15" spans="1:8">
      <c r="A15" s="5" t="s">
        <v>57</v>
      </c>
      <c r="B15" s="5" t="s">
        <v>58</v>
      </c>
      <c r="C15" s="5" t="s">
        <v>58</v>
      </c>
      <c r="D15" s="5" t="s">
        <v>59</v>
      </c>
      <c r="E15" s="5" t="s">
        <v>60</v>
      </c>
      <c r="F15" s="3" t="s">
        <v>27</v>
      </c>
      <c r="G15" s="3" t="s">
        <v>27</v>
      </c>
      <c r="H15" s="3" t="s">
        <v>27</v>
      </c>
    </row>
    <row r="16" spans="1:8">
      <c r="A16" s="5" t="s">
        <v>61</v>
      </c>
      <c r="B16" s="5" t="s">
        <v>62</v>
      </c>
      <c r="C16" s="5" t="s">
        <v>63</v>
      </c>
      <c r="D16" s="5" t="s">
        <v>64</v>
      </c>
      <c r="E16" s="5" t="s">
        <v>65</v>
      </c>
      <c r="F16" s="3" t="s">
        <v>27</v>
      </c>
      <c r="G16" s="3" t="s">
        <v>27</v>
      </c>
      <c r="H16" s="3" t="s">
        <v>27</v>
      </c>
    </row>
    <row r="17" spans="1:8">
      <c r="A17" s="5" t="s">
        <v>66</v>
      </c>
      <c r="B17" s="5" t="s">
        <v>67</v>
      </c>
      <c r="C17" s="5" t="s">
        <v>68</v>
      </c>
      <c r="D17" s="5" t="s">
        <v>69</v>
      </c>
      <c r="E17" s="5" t="s">
        <v>70</v>
      </c>
      <c r="F17" s="3" t="s">
        <v>27</v>
      </c>
      <c r="G17" s="3" t="s">
        <v>27</v>
      </c>
      <c r="H17" s="3" t="s">
        <v>27</v>
      </c>
    </row>
    <row r="18" spans="1:8">
      <c r="A18" s="5" t="s">
        <v>71</v>
      </c>
      <c r="B18" s="5" t="s">
        <v>72</v>
      </c>
      <c r="C18" s="5" t="s">
        <v>73</v>
      </c>
      <c r="D18" s="5" t="s">
        <v>74</v>
      </c>
      <c r="E18" s="5" t="s">
        <v>75</v>
      </c>
      <c r="F18" s="3" t="s">
        <v>27</v>
      </c>
      <c r="G18" s="3" t="s">
        <v>27</v>
      </c>
      <c r="H18" s="3" t="s">
        <v>27</v>
      </c>
    </row>
    <row r="19" spans="1:8">
      <c r="A19" s="5" t="s">
        <v>76</v>
      </c>
      <c r="B19" s="5" t="s">
        <v>77</v>
      </c>
      <c r="C19" s="5" t="s">
        <v>77</v>
      </c>
      <c r="D19" s="5" t="s">
        <v>77</v>
      </c>
      <c r="E19" s="5" t="s">
        <v>78</v>
      </c>
      <c r="F19" s="3" t="s">
        <v>27</v>
      </c>
      <c r="G19" s="3" t="s">
        <v>27</v>
      </c>
      <c r="H19" s="3" t="s">
        <v>27</v>
      </c>
    </row>
  </sheetData>
  <mergeCells count="3">
    <mergeCell ref="A4:H4"/>
    <mergeCell ref="A12:H12"/>
    <mergeCell ref="A1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showGridLines="0" workbookViewId="0">
      <selection activeCell="C11" sqref="C11"/>
    </sheetView>
  </sheetViews>
  <sheetFormatPr defaultColWidth="9" defaultRowHeight="16.8" outlineLevelCol="7"/>
  <cols>
    <col min="1" max="1" width="49.6323529411765" customWidth="1"/>
    <col min="2" max="2" width="26" customWidth="1"/>
    <col min="3" max="3" width="46" customWidth="1"/>
    <col min="4" max="4" width="48" customWidth="1"/>
    <col min="5" max="8" width="8" customWidth="1"/>
  </cols>
  <sheetData>
    <row r="1" ht="34" customHeight="1" spans="1:8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</row>
    <row r="2" ht="34" customHeight="1" spans="1:8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15" t="s">
        <v>79</v>
      </c>
      <c r="B4" s="15"/>
      <c r="C4" s="15"/>
      <c r="D4" s="15"/>
      <c r="E4" s="15"/>
      <c r="F4" s="15"/>
      <c r="G4" s="15"/>
      <c r="H4" s="15"/>
    </row>
    <row r="5" spans="1:8">
      <c r="A5" s="15"/>
      <c r="B5" s="15"/>
      <c r="C5" s="15"/>
      <c r="D5" s="15"/>
      <c r="E5" s="15"/>
      <c r="F5" s="15"/>
      <c r="G5" s="15"/>
      <c r="H5" s="15"/>
    </row>
    <row r="6" spans="1:8">
      <c r="A6" s="3"/>
      <c r="B6" s="3"/>
      <c r="C6" s="3"/>
      <c r="D6" s="3"/>
      <c r="E6" s="3"/>
      <c r="F6" s="3"/>
      <c r="G6" s="3"/>
      <c r="H6" s="3"/>
    </row>
    <row r="7" spans="1:8">
      <c r="A7" s="8" t="s">
        <v>80</v>
      </c>
      <c r="B7" s="8" t="s">
        <v>80</v>
      </c>
      <c r="C7" s="8" t="s">
        <v>80</v>
      </c>
      <c r="D7" s="8" t="s">
        <v>80</v>
      </c>
      <c r="E7" s="8" t="s">
        <v>80</v>
      </c>
      <c r="F7" s="8" t="s">
        <v>80</v>
      </c>
      <c r="G7" s="8" t="s">
        <v>80</v>
      </c>
      <c r="H7" s="8" t="s">
        <v>80</v>
      </c>
    </row>
    <row r="8" s="1" customFormat="1" spans="1:8">
      <c r="A8" s="4" t="s">
        <v>81</v>
      </c>
      <c r="B8" s="4" t="s">
        <v>82</v>
      </c>
      <c r="C8" s="4" t="s">
        <v>83</v>
      </c>
      <c r="D8" s="4" t="s">
        <v>84</v>
      </c>
      <c r="E8" s="16" t="s">
        <v>27</v>
      </c>
      <c r="F8" s="16" t="s">
        <v>27</v>
      </c>
      <c r="G8" s="16" t="s">
        <v>27</v>
      </c>
      <c r="H8" s="16" t="s">
        <v>27</v>
      </c>
    </row>
    <row r="9" spans="1:8">
      <c r="A9" s="5" t="s">
        <v>85</v>
      </c>
      <c r="B9" s="17" t="s">
        <v>86</v>
      </c>
      <c r="C9" s="5" t="s">
        <v>87</v>
      </c>
      <c r="D9" s="5" t="s">
        <v>88</v>
      </c>
      <c r="E9" s="3" t="s">
        <v>27</v>
      </c>
      <c r="F9" s="3" t="s">
        <v>27</v>
      </c>
      <c r="G9" s="3" t="s">
        <v>27</v>
      </c>
      <c r="H9" s="3" t="s">
        <v>27</v>
      </c>
    </row>
    <row r="10" spans="1:8">
      <c r="A10" s="5" t="s">
        <v>89</v>
      </c>
      <c r="B10" s="10">
        <v>600000</v>
      </c>
      <c r="C10" s="5" t="s">
        <v>90</v>
      </c>
      <c r="D10" s="5" t="s">
        <v>91</v>
      </c>
      <c r="E10" s="3" t="s">
        <v>27</v>
      </c>
      <c r="F10" s="3" t="s">
        <v>27</v>
      </c>
      <c r="G10" s="3" t="s">
        <v>27</v>
      </c>
      <c r="H10" s="3" t="s">
        <v>27</v>
      </c>
    </row>
    <row r="11" spans="1:8">
      <c r="A11" s="5" t="s">
        <v>92</v>
      </c>
      <c r="B11" s="5" t="s">
        <v>93</v>
      </c>
      <c r="C11" s="5" t="s">
        <v>94</v>
      </c>
      <c r="D11" s="5" t="s">
        <v>95</v>
      </c>
      <c r="E11" s="3" t="s">
        <v>27</v>
      </c>
      <c r="F11" s="3" t="s">
        <v>27</v>
      </c>
      <c r="G11" s="3" t="s">
        <v>27</v>
      </c>
      <c r="H11" s="3" t="s">
        <v>27</v>
      </c>
    </row>
    <row r="12" spans="1:8">
      <c r="A12" s="5"/>
      <c r="B12" s="5"/>
      <c r="C12" s="5"/>
      <c r="D12" s="5"/>
      <c r="E12" s="3"/>
      <c r="F12" s="3"/>
      <c r="G12" s="3"/>
      <c r="H12" s="3"/>
    </row>
    <row r="13" spans="1:8">
      <c r="A13" s="5" t="s">
        <v>96</v>
      </c>
      <c r="B13" s="7">
        <v>500000</v>
      </c>
      <c r="C13" s="5" t="s">
        <v>97</v>
      </c>
      <c r="D13" s="5" t="s">
        <v>98</v>
      </c>
      <c r="E13" s="3" t="s">
        <v>27</v>
      </c>
      <c r="F13" s="3" t="s">
        <v>27</v>
      </c>
      <c r="G13" s="3" t="s">
        <v>27</v>
      </c>
      <c r="H13" s="3" t="s">
        <v>27</v>
      </c>
    </row>
    <row r="14" spans="1:8">
      <c r="A14" s="5" t="s">
        <v>99</v>
      </c>
      <c r="B14" s="5" t="s">
        <v>100</v>
      </c>
      <c r="C14" s="5" t="s">
        <v>101</v>
      </c>
      <c r="D14" s="5" t="s">
        <v>102</v>
      </c>
      <c r="E14" s="3" t="s">
        <v>27</v>
      </c>
      <c r="F14" s="3" t="s">
        <v>27</v>
      </c>
      <c r="G14" s="3" t="s">
        <v>27</v>
      </c>
      <c r="H14" s="3" t="s">
        <v>27</v>
      </c>
    </row>
    <row r="15" spans="1:8">
      <c r="A15" s="5" t="s">
        <v>103</v>
      </c>
      <c r="B15" s="5" t="s">
        <v>104</v>
      </c>
      <c r="C15" s="5" t="s">
        <v>105</v>
      </c>
      <c r="D15" s="5" t="s">
        <v>106</v>
      </c>
      <c r="E15" s="3" t="s">
        <v>27</v>
      </c>
      <c r="F15" s="3" t="s">
        <v>27</v>
      </c>
      <c r="G15" s="3" t="s">
        <v>27</v>
      </c>
      <c r="H15" s="3" t="s">
        <v>27</v>
      </c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8" t="s">
        <v>107</v>
      </c>
      <c r="B18" s="8" t="s">
        <v>107</v>
      </c>
      <c r="C18" s="8" t="s">
        <v>107</v>
      </c>
      <c r="D18" s="8" t="s">
        <v>107</v>
      </c>
      <c r="E18" s="8" t="s">
        <v>107</v>
      </c>
      <c r="F18" s="8" t="s">
        <v>107</v>
      </c>
      <c r="G18" s="8" t="s">
        <v>107</v>
      </c>
      <c r="H18" s="8" t="s">
        <v>107</v>
      </c>
    </row>
    <row r="19" s="1" customFormat="1" spans="1:8">
      <c r="A19" s="4" t="s">
        <v>108</v>
      </c>
      <c r="B19" s="4" t="s">
        <v>109</v>
      </c>
      <c r="C19" s="4" t="s">
        <v>110</v>
      </c>
      <c r="D19" s="4" t="s">
        <v>111</v>
      </c>
      <c r="E19" s="16" t="s">
        <v>27</v>
      </c>
      <c r="F19" s="16" t="s">
        <v>27</v>
      </c>
      <c r="G19" s="16" t="s">
        <v>27</v>
      </c>
      <c r="H19" s="16" t="s">
        <v>27</v>
      </c>
    </row>
    <row r="20" spans="1:8">
      <c r="A20" s="5" t="s">
        <v>112</v>
      </c>
      <c r="B20" s="5" t="s">
        <v>113</v>
      </c>
      <c r="C20" s="5" t="s">
        <v>114</v>
      </c>
      <c r="D20" s="5" t="s">
        <v>115</v>
      </c>
      <c r="E20" s="3" t="s">
        <v>27</v>
      </c>
      <c r="F20" s="3" t="s">
        <v>27</v>
      </c>
      <c r="G20" s="3" t="s">
        <v>27</v>
      </c>
      <c r="H20" s="3" t="s">
        <v>27</v>
      </c>
    </row>
    <row r="21" spans="1:8">
      <c r="A21" s="5" t="s">
        <v>116</v>
      </c>
      <c r="B21" s="5" t="s">
        <v>117</v>
      </c>
      <c r="C21" s="5" t="s">
        <v>118</v>
      </c>
      <c r="D21" s="5" t="s">
        <v>119</v>
      </c>
      <c r="E21" s="3" t="s">
        <v>27</v>
      </c>
      <c r="F21" s="3" t="s">
        <v>27</v>
      </c>
      <c r="G21" s="3" t="s">
        <v>27</v>
      </c>
      <c r="H21" s="3" t="s">
        <v>27</v>
      </c>
    </row>
    <row r="22" spans="1:8">
      <c r="A22" s="5" t="s">
        <v>120</v>
      </c>
      <c r="B22" s="5" t="s">
        <v>121</v>
      </c>
      <c r="C22" s="5" t="s">
        <v>122</v>
      </c>
      <c r="D22" s="5" t="s">
        <v>123</v>
      </c>
      <c r="E22" s="3" t="s">
        <v>27</v>
      </c>
      <c r="F22" s="3" t="s">
        <v>27</v>
      </c>
      <c r="G22" s="3" t="s">
        <v>27</v>
      </c>
      <c r="H22" s="3" t="s">
        <v>27</v>
      </c>
    </row>
    <row r="23" spans="1:8">
      <c r="A23" s="5" t="s">
        <v>124</v>
      </c>
      <c r="B23" s="5" t="s">
        <v>125</v>
      </c>
      <c r="C23" s="5" t="s">
        <v>126</v>
      </c>
      <c r="D23" s="5" t="s">
        <v>127</v>
      </c>
      <c r="E23" s="3" t="s">
        <v>27</v>
      </c>
      <c r="F23" s="3" t="s">
        <v>27</v>
      </c>
      <c r="G23" s="3" t="s">
        <v>27</v>
      </c>
      <c r="H23" s="3" t="s">
        <v>27</v>
      </c>
    </row>
  </sheetData>
  <mergeCells count="4">
    <mergeCell ref="A7:H7"/>
    <mergeCell ref="A18:H18"/>
    <mergeCell ref="A1:H2"/>
    <mergeCell ref="A4:H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showGridLines="0" tabSelected="1" workbookViewId="0">
      <selection activeCell="B11" sqref="B11"/>
    </sheetView>
  </sheetViews>
  <sheetFormatPr defaultColWidth="9" defaultRowHeight="16.8" outlineLevelCol="7"/>
  <cols>
    <col min="1" max="1" width="42" customWidth="1"/>
    <col min="2" max="2" width="14" customWidth="1"/>
    <col min="3" max="5" width="18" customWidth="1"/>
    <col min="6" max="6" width="28" customWidth="1"/>
    <col min="7" max="7" width="36" customWidth="1"/>
    <col min="8" max="8" width="8" customWidth="1"/>
  </cols>
  <sheetData>
    <row r="1" ht="34" customHeight="1" spans="1:8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</row>
    <row r="2" ht="34" customHeight="1" spans="1:8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8" t="s">
        <v>128</v>
      </c>
      <c r="B4" s="8" t="s">
        <v>128</v>
      </c>
      <c r="C4" s="8" t="s">
        <v>128</v>
      </c>
      <c r="D4" s="8" t="s">
        <v>128</v>
      </c>
      <c r="E4" s="3"/>
      <c r="F4" s="3"/>
      <c r="G4" s="3"/>
      <c r="H4" s="3"/>
    </row>
    <row r="5" spans="1:8">
      <c r="A5" s="9" t="s">
        <v>81</v>
      </c>
      <c r="B5" s="9" t="s">
        <v>82</v>
      </c>
      <c r="C5" s="9" t="s">
        <v>83</v>
      </c>
      <c r="D5" s="3" t="s">
        <v>27</v>
      </c>
      <c r="E5" s="3"/>
      <c r="F5" s="3"/>
      <c r="G5" s="3"/>
      <c r="H5" s="3"/>
    </row>
    <row r="6" spans="1:8">
      <c r="A6" s="5" t="s">
        <v>129</v>
      </c>
      <c r="B6" s="10">
        <v>1000000</v>
      </c>
      <c r="C6" s="5" t="s">
        <v>130</v>
      </c>
      <c r="D6" s="3" t="s">
        <v>27</v>
      </c>
      <c r="E6" s="3"/>
      <c r="F6" s="3"/>
      <c r="G6" s="3"/>
      <c r="H6" s="3"/>
    </row>
    <row r="7" spans="1:8">
      <c r="A7" s="5" t="s">
        <v>131</v>
      </c>
      <c r="B7" s="11">
        <v>0.35</v>
      </c>
      <c r="C7" s="5" t="s">
        <v>132</v>
      </c>
      <c r="D7" s="3" t="s">
        <v>27</v>
      </c>
      <c r="E7" s="3"/>
      <c r="F7" s="3"/>
      <c r="G7" s="3"/>
      <c r="H7" s="3"/>
    </row>
    <row r="8" spans="1:8">
      <c r="A8" s="5" t="s">
        <v>133</v>
      </c>
      <c r="B8" s="7">
        <f>B6*(1-B7)</f>
        <v>650000</v>
      </c>
      <c r="C8" s="5" t="s">
        <v>134</v>
      </c>
      <c r="D8" s="3" t="s">
        <v>27</v>
      </c>
      <c r="E8" s="3"/>
      <c r="F8" s="3"/>
      <c r="G8" s="3"/>
      <c r="H8" s="3"/>
    </row>
    <row r="9" spans="1:8">
      <c r="A9" s="5" t="s">
        <v>135</v>
      </c>
      <c r="B9" s="11">
        <v>0.3</v>
      </c>
      <c r="C9" s="5" t="s">
        <v>136</v>
      </c>
      <c r="D9" s="3" t="s">
        <v>27</v>
      </c>
      <c r="E9" s="3"/>
      <c r="F9" s="3"/>
      <c r="G9" s="3"/>
      <c r="H9" s="3"/>
    </row>
    <row r="10" spans="1:8">
      <c r="A10" s="5" t="s">
        <v>137</v>
      </c>
      <c r="B10" s="7">
        <f>B8*B9</f>
        <v>195000</v>
      </c>
      <c r="C10" s="5" t="s">
        <v>138</v>
      </c>
      <c r="D10" s="3" t="s">
        <v>27</v>
      </c>
      <c r="E10" s="3"/>
      <c r="F10" s="3"/>
      <c r="G10" s="3"/>
      <c r="H10" s="3"/>
    </row>
    <row r="11" spans="1:8">
      <c r="A11" s="5" t="s">
        <v>139</v>
      </c>
      <c r="B11" s="7">
        <f>B6-B10</f>
        <v>805000</v>
      </c>
      <c r="C11" s="5" t="s">
        <v>140</v>
      </c>
      <c r="D11" s="3" t="s">
        <v>27</v>
      </c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8" t="s">
        <v>141</v>
      </c>
      <c r="B13" s="8" t="s">
        <v>141</v>
      </c>
      <c r="C13" s="8" t="s">
        <v>141</v>
      </c>
      <c r="D13" s="8" t="s">
        <v>141</v>
      </c>
      <c r="E13" s="8" t="s">
        <v>141</v>
      </c>
      <c r="F13" s="8" t="s">
        <v>141</v>
      </c>
      <c r="G13" s="8" t="s">
        <v>141</v>
      </c>
      <c r="H13" s="8" t="s">
        <v>141</v>
      </c>
    </row>
    <row r="14" spans="1:8">
      <c r="A14" s="9" t="s">
        <v>3</v>
      </c>
      <c r="B14" s="9" t="s">
        <v>142</v>
      </c>
      <c r="C14" s="9" t="s">
        <v>143</v>
      </c>
      <c r="D14" s="9" t="s">
        <v>144</v>
      </c>
      <c r="E14" s="9" t="s">
        <v>145</v>
      </c>
      <c r="F14" s="9" t="s">
        <v>146</v>
      </c>
      <c r="G14" s="9" t="s">
        <v>39</v>
      </c>
      <c r="H14" s="9" t="s">
        <v>27</v>
      </c>
    </row>
    <row r="15" spans="1:8">
      <c r="A15" s="5" t="s">
        <v>10</v>
      </c>
      <c r="B15" s="6">
        <f>股权池规则!B6</f>
        <v>0.6</v>
      </c>
      <c r="C15" s="6">
        <f>B15/(B15+B16)</f>
        <v>0.666666666666667</v>
      </c>
      <c r="D15" s="7">
        <f>$B$10*C15</f>
        <v>130000</v>
      </c>
      <c r="E15" s="5">
        <f>IF($B$9=0,"¥0（不分红）",D15)</f>
        <v>130000</v>
      </c>
      <c r="F15" s="5" t="s">
        <v>147</v>
      </c>
      <c r="G15" s="5" t="s">
        <v>148</v>
      </c>
      <c r="H15" s="5" t="s">
        <v>27</v>
      </c>
    </row>
    <row r="16" spans="1:8">
      <c r="A16" s="5" t="s">
        <v>16</v>
      </c>
      <c r="B16" s="6">
        <f>股权池规则!B7</f>
        <v>0.3</v>
      </c>
      <c r="C16" s="6">
        <f>B16/(B15+B16)</f>
        <v>0.333333333333333</v>
      </c>
      <c r="D16" s="7">
        <f>$B$10*C16</f>
        <v>65000</v>
      </c>
      <c r="E16" s="5">
        <f>IF($B$9=0,"¥0（不分红）",D16)</f>
        <v>65000</v>
      </c>
      <c r="F16" s="5" t="s">
        <v>149</v>
      </c>
      <c r="G16" s="5" t="s">
        <v>150</v>
      </c>
      <c r="H16" s="5" t="s">
        <v>27</v>
      </c>
    </row>
    <row r="17" spans="1:8">
      <c r="A17" s="5" t="s">
        <v>20</v>
      </c>
      <c r="B17" s="6">
        <f>股权池规则!B8</f>
        <v>0.1</v>
      </c>
      <c r="C17" s="6">
        <v>0</v>
      </c>
      <c r="D17" s="7">
        <f>$B$10*C17</f>
        <v>0</v>
      </c>
      <c r="E17" s="5">
        <f>IF($B$9=0,"¥0（不分红）",D17)</f>
        <v>0</v>
      </c>
      <c r="F17" s="5" t="s">
        <v>151</v>
      </c>
      <c r="G17" s="5" t="s">
        <v>152</v>
      </c>
      <c r="H17" s="5" t="s">
        <v>27</v>
      </c>
    </row>
    <row r="18" spans="1:8">
      <c r="A18" s="12" t="s">
        <v>26</v>
      </c>
      <c r="B18" s="13">
        <f>SUM(B15:B17)</f>
        <v>1</v>
      </c>
      <c r="C18" s="13">
        <f>SUM(C15:C17)</f>
        <v>1</v>
      </c>
      <c r="D18" s="14">
        <f>SUM(D15:D17)</f>
        <v>195000</v>
      </c>
      <c r="E18" s="12" t="s">
        <v>27</v>
      </c>
      <c r="F18" s="12" t="s">
        <v>27</v>
      </c>
      <c r="G18" s="12" t="s">
        <v>27</v>
      </c>
      <c r="H18" s="12" t="s">
        <v>27</v>
      </c>
    </row>
  </sheetData>
  <mergeCells count="3">
    <mergeCell ref="A4:D4"/>
    <mergeCell ref="A13:H13"/>
    <mergeCell ref="A1:H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showGridLines="0" workbookViewId="0">
      <selection activeCell="A4" sqref="$A4:$XFD4"/>
    </sheetView>
  </sheetViews>
  <sheetFormatPr defaultColWidth="9" defaultRowHeight="16.8" outlineLevelCol="5"/>
  <cols>
    <col min="1" max="1" width="36" customWidth="1"/>
    <col min="2" max="4" width="16" customWidth="1"/>
    <col min="5" max="5" width="14" customWidth="1"/>
    <col min="6" max="6" width="18" customWidth="1"/>
  </cols>
  <sheetData>
    <row r="1" ht="34" customHeight="1" spans="1:6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</row>
    <row r="2" ht="34" customHeight="1" spans="1:6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</row>
    <row r="3" spans="1:6">
      <c r="A3" s="3"/>
      <c r="B3" s="3"/>
      <c r="C3" s="3"/>
      <c r="D3" s="3"/>
      <c r="E3" s="3"/>
      <c r="F3" s="3"/>
    </row>
    <row r="4" s="1" customFormat="1" spans="1:6">
      <c r="A4" s="4" t="s">
        <v>153</v>
      </c>
      <c r="B4" s="4" t="s">
        <v>154</v>
      </c>
      <c r="C4" s="4" t="s">
        <v>155</v>
      </c>
      <c r="D4" s="4" t="s">
        <v>156</v>
      </c>
      <c r="E4" s="4" t="s">
        <v>157</v>
      </c>
      <c r="F4" s="4" t="s">
        <v>158</v>
      </c>
    </row>
    <row r="5" spans="1:6">
      <c r="A5" s="5" t="s">
        <v>159</v>
      </c>
      <c r="B5" s="6">
        <f>股权池规则!B9</f>
        <v>1</v>
      </c>
      <c r="C5" s="6">
        <v>1</v>
      </c>
      <c r="D5" s="6">
        <f>B5-C5</f>
        <v>0</v>
      </c>
      <c r="E5" s="5">
        <v>0.0001</v>
      </c>
      <c r="F5" s="5" t="str">
        <f>IF(ABS(D5)&lt;=E5,"OK / 通过","CHECK / 检查")</f>
        <v>OK / 通过</v>
      </c>
    </row>
    <row r="6" spans="1:6">
      <c r="A6" s="5" t="s">
        <v>10</v>
      </c>
      <c r="B6" s="6">
        <f>股权池规则!B6</f>
        <v>0.6</v>
      </c>
      <c r="C6" s="6">
        <v>0.6</v>
      </c>
      <c r="D6" s="6">
        <f>B6-C6</f>
        <v>0</v>
      </c>
      <c r="E6" s="5">
        <v>0.0001</v>
      </c>
      <c r="F6" s="5" t="str">
        <f>IF(ABS(D6)&lt;=E6,"OK / 通过","CHECK / 检查")</f>
        <v>OK / 通过</v>
      </c>
    </row>
    <row r="7" spans="1:6">
      <c r="A7" s="5" t="s">
        <v>16</v>
      </c>
      <c r="B7" s="6">
        <f>股权池规则!B7</f>
        <v>0.3</v>
      </c>
      <c r="C7" s="6">
        <v>0.3</v>
      </c>
      <c r="D7" s="6">
        <f>B7-C7</f>
        <v>0</v>
      </c>
      <c r="E7" s="5">
        <v>0.0001</v>
      </c>
      <c r="F7" s="5" t="str">
        <f>IF(ABS(D7)&lt;=E7,"OK / 通过","CHECK / 检查")</f>
        <v>OK / 通过</v>
      </c>
    </row>
    <row r="8" spans="1:6">
      <c r="A8" s="5" t="s">
        <v>20</v>
      </c>
      <c r="B8" s="6">
        <f>股权池规则!B8</f>
        <v>0.1</v>
      </c>
      <c r="C8" s="6">
        <v>0.1</v>
      </c>
      <c r="D8" s="6">
        <f>B8-C8</f>
        <v>0</v>
      </c>
      <c r="E8" s="5">
        <v>0.0001</v>
      </c>
      <c r="F8" s="5" t="str">
        <f>IF(ABS(D8)&lt;=E8,"OK / 通过","CHECK / 检查")</f>
        <v>OK / 通过</v>
      </c>
    </row>
    <row r="9" spans="1:6">
      <c r="A9" s="5" t="s">
        <v>160</v>
      </c>
      <c r="B9" s="7">
        <f>分红计算!D18</f>
        <v>195000</v>
      </c>
      <c r="C9" s="7">
        <f>分红计算!B10</f>
        <v>195000</v>
      </c>
      <c r="D9" s="7">
        <f>B9-C9</f>
        <v>0</v>
      </c>
      <c r="E9" s="5">
        <v>1</v>
      </c>
      <c r="F9" s="5" t="str">
        <f>IF(ABS(D9)&lt;=E9,"OK / 通过","CHECK / 检查")</f>
        <v>OK / 通过</v>
      </c>
    </row>
  </sheetData>
  <mergeCells count="1">
    <mergeCell ref="A1:F2"/>
  </mergeCells>
  <conditionalFormatting sqref="F5:F9">
    <cfRule type="containsText" dxfId="0" priority="1" operator="between" text="OK">
      <formula>NOT(ISERROR(SEARCH("OK",F5)))</formula>
    </cfRule>
    <cfRule type="containsText" dxfId="1" priority="2" operator="between" text="CHECK">
      <formula>NOT(ISERROR(SEARCH("CHECK",F5)))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</vt:lpstr>
      <vt:lpstr>股权池规则</vt:lpstr>
      <vt:lpstr>融资补偿</vt:lpstr>
      <vt:lpstr>分红计算</vt:lpstr>
      <vt:lpstr>公式检查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kino</cp:lastModifiedBy>
  <dcterms:created xsi:type="dcterms:W3CDTF">2026-06-08T16:02:09Z</dcterms:created>
  <dcterms:modified xsi:type="dcterms:W3CDTF">2026-06-08T16:17:02Z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3F52177ACF019C6F7E7A266A8AF2CA9A_43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